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or\OneDrive\Desktop\QA\CT AK\"/>
    </mc:Choice>
  </mc:AlternateContent>
  <xr:revisionPtr revIDLastSave="0" documentId="13_ncr:1_{8D18B618-887F-48CE-817B-C131FD09D4C3}" xr6:coauthVersionLast="47" xr6:coauthVersionMax="47" xr10:uidLastSave="{00000000-0000-0000-0000-000000000000}"/>
  <bookViews>
    <workbookView xWindow="-120" yWindow="-120" windowWidth="29040" windowHeight="15720" xr2:uid="{AC532CE0-B227-4DF5-A13B-C2066E294B2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9" i="1"/>
  <c r="G9" i="1" s="1"/>
  <c r="F10" i="1"/>
  <c r="G10" i="1" s="1"/>
  <c r="F11" i="1"/>
  <c r="G11" i="1" s="1"/>
  <c r="F8" i="1"/>
  <c r="G8" i="1" s="1"/>
  <c r="G12" i="1" s="1"/>
  <c r="H8" i="1"/>
  <c r="H9" i="1"/>
  <c r="H10" i="1"/>
  <c r="H11" i="1"/>
  <c r="E9" i="1"/>
  <c r="E10" i="1"/>
  <c r="E11" i="1"/>
  <c r="G13" i="1" l="1"/>
  <c r="H12" i="1"/>
</calcChain>
</file>

<file path=xl/sharedStrings.xml><?xml version="1.0" encoding="utf-8"?>
<sst xmlns="http://schemas.openxmlformats.org/spreadsheetml/2006/main" count="14" uniqueCount="14">
  <si>
    <t>CS LED DÂY 
(W)</t>
  </si>
  <si>
    <t>SỐ ĐƯỜNG 
LED/ĐÈN</t>
  </si>
  <si>
    <t>TỔNG CS/1ĐÈN 
(W)</t>
  </si>
  <si>
    <t>LOẠI NGUỒN
(W)</t>
  </si>
  <si>
    <t>SL NGUỒN 
(CỤC)</t>
  </si>
  <si>
    <t>SỐ LƯỢNG 
(ĐÈN)</t>
  </si>
  <si>
    <t>SL LED 
(M)</t>
  </si>
  <si>
    <t>CÔNG THỨC TÍNH NGUỒN VÀ LED</t>
  </si>
  <si>
    <t>CHIỀU DÀI ĐÈN
(M)</t>
  </si>
  <si>
    <t>TỔNG</t>
  </si>
  <si>
    <t>200w (Cục)</t>
  </si>
  <si>
    <t>400w (Cục)</t>
  </si>
  <si>
    <t>Công suất sử dụng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</si>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</sst>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CF6D-C438-4663-A6C1-9AD96FE167E9}">
  <dimension ref="A2:K19"/>
  <sheetViews>
    <sheetView tabSelected="1" workbookViewId="0">
      <selection activeCell="J18" sqref="J18"/>
    </sheetView>
  </sheetViews>
  <sheetFormatPr defaultRowHeight="15" x14ac:dyDescent="0.25"/>
  <cols>
    <col min="1" max="6" width="16.5703125" style="2" customWidth="1"/>
    <col min="7" max="7" width="18.7109375" style="2" bestFit="1" customWidth="1"/>
    <col min="8" max="8" width="15.42578125" style="2" customWidth="1"/>
    <col min="9" max="16384" width="9.140625" style="2"/>
  </cols>
  <sheetData>
    <row r="2" spans="1:8" ht="30" x14ac:dyDescent="0.25">
      <c r="A2" s="9" t="s">
        <v>7</v>
      </c>
      <c r="B2" s="9"/>
      <c r="C2" s="9"/>
      <c r="D2" s="9"/>
      <c r="E2" s="9"/>
      <c r="F2" s="9"/>
      <c r="G2" s="9"/>
      <c r="H2" s="9"/>
    </row>
    <row r="3" spans="1:8" ht="6.75" customHeight="1" x14ac:dyDescent="0.25"/>
    <row r="4" spans="1:8" ht="6.75" customHeight="1" x14ac:dyDescent="0.25"/>
    <row r="6" spans="1:8" x14ac:dyDescent="0.25">
      <c r="G6" s="4" t="s">
        <v>12</v>
      </c>
      <c r="H6" s="5">
        <v>0.8</v>
      </c>
    </row>
    <row r="7" spans="1:8" ht="42.75" x14ac:dyDescent="0.25">
      <c r="A7" s="6" t="s">
        <v>8</v>
      </c>
      <c r="B7" s="6" t="s">
        <v>5</v>
      </c>
      <c r="C7" s="6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6</v>
      </c>
    </row>
    <row r="8" spans="1:8" x14ac:dyDescent="0.25">
      <c r="A8" s="3">
        <v>2.09</v>
      </c>
      <c r="B8" s="3">
        <v>13</v>
      </c>
      <c r="C8" s="3">
        <v>28</v>
      </c>
      <c r="D8" s="3">
        <v>1</v>
      </c>
      <c r="E8" s="1">
        <f t="shared" ref="E8:E11" si="0">D8*C8*A8</f>
        <v>58.519999999999996</v>
      </c>
      <c r="F8" s="8">
        <f>IF(E8&lt;=200*$H$6,200,400)</f>
        <v>200</v>
      </c>
      <c r="G8" s="8">
        <f>ROUNDUP(E8/(F8*$H$6),0)*B8</f>
        <v>13</v>
      </c>
      <c r="H8" s="8">
        <f>ROUNDUP(A8*B8*D8,0)</f>
        <v>28</v>
      </c>
    </row>
    <row r="9" spans="1:8" x14ac:dyDescent="0.25">
      <c r="A9" s="3">
        <v>15.6</v>
      </c>
      <c r="B9" s="3">
        <v>3</v>
      </c>
      <c r="C9" s="3">
        <v>28</v>
      </c>
      <c r="D9" s="3">
        <v>3</v>
      </c>
      <c r="E9" s="1">
        <f t="shared" si="0"/>
        <v>1310.3999999999999</v>
      </c>
      <c r="F9" s="8">
        <f t="shared" ref="F9:F11" si="1">IF(E9&lt;=200*$H$6,200,400)</f>
        <v>400</v>
      </c>
      <c r="G9" s="8">
        <f t="shared" ref="G9:G11" si="2">ROUNDUP(E9/(F9*$H$6),0)*B9</f>
        <v>15</v>
      </c>
      <c r="H9" s="8">
        <f t="shared" ref="H9:H11" si="3">ROUNDUP(A9*B9*D9,0)</f>
        <v>141</v>
      </c>
    </row>
    <row r="10" spans="1:8" x14ac:dyDescent="0.25">
      <c r="A10" s="3">
        <v>8.4</v>
      </c>
      <c r="B10" s="3">
        <v>2</v>
      </c>
      <c r="C10" s="3">
        <v>28</v>
      </c>
      <c r="D10" s="3">
        <v>3</v>
      </c>
      <c r="E10" s="1">
        <f t="shared" si="0"/>
        <v>705.6</v>
      </c>
      <c r="F10" s="8">
        <f t="shared" si="1"/>
        <v>400</v>
      </c>
      <c r="G10" s="8">
        <f t="shared" si="2"/>
        <v>6</v>
      </c>
      <c r="H10" s="8">
        <f t="shared" si="3"/>
        <v>51</v>
      </c>
    </row>
    <row r="11" spans="1:8" x14ac:dyDescent="0.25">
      <c r="A11" s="3">
        <v>14.14</v>
      </c>
      <c r="B11" s="3">
        <v>1</v>
      </c>
      <c r="C11" s="3">
        <v>28</v>
      </c>
      <c r="D11" s="3">
        <v>3</v>
      </c>
      <c r="E11" s="1">
        <f t="shared" si="0"/>
        <v>1187.76</v>
      </c>
      <c r="F11" s="8">
        <f t="shared" si="1"/>
        <v>400</v>
      </c>
      <c r="G11" s="8">
        <f t="shared" si="2"/>
        <v>4</v>
      </c>
      <c r="H11" s="8">
        <f t="shared" si="3"/>
        <v>43</v>
      </c>
    </row>
    <row r="12" spans="1:8" x14ac:dyDescent="0.25">
      <c r="E12" s="10" t="s">
        <v>9</v>
      </c>
      <c r="F12" s="7" t="s">
        <v>10</v>
      </c>
      <c r="G12" s="7">
        <f>G8</f>
        <v>13</v>
      </c>
      <c r="H12" s="11">
        <f>SUM(H8:H11)</f>
        <v>263</v>
      </c>
    </row>
    <row r="13" spans="1:8" x14ac:dyDescent="0.25">
      <c r="E13" s="10"/>
      <c r="F13" s="7" t="s">
        <v>11</v>
      </c>
      <c r="G13" s="7">
        <f>SUM(G9:G11)</f>
        <v>25</v>
      </c>
      <c r="H13" s="12"/>
    </row>
    <row r="19" spans="11:11" x14ac:dyDescent="0.25">
      <c r="K19" s="2" t="s">
        <v>13</v>
      </c>
    </row>
  </sheetData>
  <mergeCells count="3">
    <mergeCell ref="A2:H2"/>
    <mergeCell ref="E12:E13"/>
    <mergeCell ref="H12:H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ILUMEN NGUYET</dc:creator>
  <cp:lastModifiedBy>ILUMEN SALES 02</cp:lastModifiedBy>
  <dcterms:created xsi:type="dcterms:W3CDTF">2026-01-24T02:33:32Z</dcterms:created>
  <dcterms:modified xsi:type="dcterms:W3CDTF">2026-01-24T08:28:45Z</dcterms:modified>
</cp:coreProperties>
</file>